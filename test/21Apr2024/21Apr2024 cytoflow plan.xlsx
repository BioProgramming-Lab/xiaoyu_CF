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xiaoyu/Desktop/"/>
    </mc:Choice>
  </mc:AlternateContent>
  <xr:revisionPtr revIDLastSave="0" documentId="13_ncr:1_{D25BDCA6-A679-2340-AA4C-61CFC6406BDD}" xr6:coauthVersionLast="47" xr6:coauthVersionMax="47" xr10:uidLastSave="{00000000-0000-0000-0000-000000000000}"/>
  <bookViews>
    <workbookView xWindow="45200" yWindow="2320" windowWidth="27640" windowHeight="16940" xr2:uid="{981CFAC9-91F5-0A4F-967F-D351A38D8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0" i="1" l="1"/>
  <c r="J30" i="1" s="1"/>
  <c r="I29" i="1"/>
  <c r="J29" i="1" s="1"/>
  <c r="C30" i="1"/>
  <c r="D30" i="1" s="1"/>
  <c r="C29" i="1"/>
  <c r="D29" i="1" s="1"/>
  <c r="A5" i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<sst xmlns="http://schemas.openxmlformats.org/spreadsheetml/2006/main" count="70" uniqueCount="40">
  <si>
    <t>cell binding assay</t>
    <phoneticPr fontId="1" type="noConversion"/>
  </si>
  <si>
    <t>flow cytometry with ZE5</t>
    <phoneticPr fontId="1" type="noConversion"/>
  </si>
  <si>
    <t>cells in each well:</t>
    <phoneticPr fontId="1" type="noConversion"/>
  </si>
  <si>
    <t>96 well plate #1</t>
    <phoneticPr fontId="1" type="noConversion"/>
  </si>
  <si>
    <t>#127</t>
  </si>
  <si>
    <t>molecule</t>
    <phoneticPr fontId="1" type="noConversion"/>
  </si>
  <si>
    <t>*EpCAM</t>
  </si>
  <si>
    <t>EGFR</t>
  </si>
  <si>
    <t>*EGFR-EpCAM</t>
  </si>
  <si>
    <t>cell-line</t>
    <phoneticPr fontId="1" type="noConversion"/>
  </si>
  <si>
    <t>conc. (M)</t>
    <phoneticPr fontId="1" type="noConversion"/>
  </si>
  <si>
    <t>21 Apr. 2024</t>
  </si>
  <si>
    <t>#124</t>
  </si>
  <si>
    <t>#125</t>
  </si>
  <si>
    <t>Mix</t>
  </si>
  <si>
    <t>F-*EpCAM</t>
  </si>
  <si>
    <t>F-EGFR</t>
  </si>
  <si>
    <t>F-*EGFR-EpCAM</t>
  </si>
  <si>
    <t>F-Mix</t>
  </si>
  <si>
    <t>Null</t>
  </si>
  <si>
    <t>#123 &amp; #137</t>
  </si>
  <si>
    <t>#123 1E-8</t>
  </si>
  <si>
    <t>#137 1E-8</t>
  </si>
  <si>
    <t>antibody dilution</t>
  </si>
  <si>
    <t>30-&gt;120</t>
  </si>
  <si>
    <t>150ul per well</t>
  </si>
  <si>
    <t>500ul protein each</t>
  </si>
  <si>
    <t>protein</t>
  </si>
  <si>
    <t>conc.</t>
  </si>
  <si>
    <t>volume in 1ml</t>
  </si>
  <si>
    <t>buffer volume</t>
  </si>
  <si>
    <t>#137</t>
  </si>
  <si>
    <t>conc. (uM)</t>
  </si>
  <si>
    <t>1E-8 M * 200 uL * 20</t>
  </si>
  <si>
    <t>volume in 0.5ml</t>
  </si>
  <si>
    <t>4 ml in total</t>
  </si>
  <si>
    <t>V buffer</t>
  </si>
  <si>
    <t>-&gt; 1E-6M</t>
  </si>
  <si>
    <t>10 ul upper + 900 ul buffer -&gt; 1E-8</t>
  </si>
  <si>
    <t>final conc. = 1E-8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</si>
</sst>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2"/>
      <color theme="5" tint="-0.499984740745262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1" fontId="2" fillId="0" borderId="0" xfId="0" applyNumberFormat="1" applyFont="1" applyAlignment="1">
      <alignment vertical="center"/>
    </xf>
    <xf numFmtId="11" fontId="0" fillId="0" borderId="4" xfId="0" quotePrefix="1" applyNumberFormat="1" applyBorder="1" applyAlignment="1">
      <alignment vertical="center"/>
    </xf>
    <xf numFmtId="11" fontId="0" fillId="0" borderId="0" xfId="0" quotePrefix="1" applyNumberFormat="1" applyAlignment="1">
      <alignment vertical="center"/>
    </xf>
    <xf numFmtId="11" fontId="0" fillId="0" borderId="5" xfId="0" quotePrefix="1" applyNumberFormat="1" applyBorder="1" applyAlignment="1">
      <alignment vertical="center"/>
    </xf>
    <xf numFmtId="11" fontId="0" fillId="0" borderId="0" xfId="0" applyNumberFormat="1" applyAlignment="1">
      <alignment vertical="center"/>
    </xf>
    <xf numFmtId="0" fontId="1" fillId="2" borderId="4" xfId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1" fillId="2" borderId="5" xfId="1" applyBorder="1" applyAlignment="1">
      <alignment vertical="center"/>
    </xf>
    <xf numFmtId="0" fontId="1" fillId="2" borderId="0" xfId="1" applyBorder="1" applyAlignment="1">
      <alignment vertical="center"/>
    </xf>
    <xf numFmtId="0" fontId="1" fillId="2" borderId="6" xfId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2" borderId="8" xfId="1" applyBorder="1" applyAlignment="1">
      <alignment vertical="center"/>
    </xf>
    <xf numFmtId="0" fontId="1" fillId="2" borderId="7" xfId="1" applyBorder="1" applyAlignment="1">
      <alignment vertical="center"/>
    </xf>
    <xf numFmtId="0" fontId="1" fillId="4" borderId="0" xfId="1" applyFill="1" applyBorder="1" applyAlignment="1">
      <alignment vertical="center"/>
    </xf>
    <xf numFmtId="0" fontId="0" fillId="4" borderId="0" xfId="0" applyFill="1" applyAlignment="1">
      <alignment vertical="center"/>
    </xf>
    <xf numFmtId="0" fontId="1" fillId="2" borderId="1" xfId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4" borderId="4" xfId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1" fillId="4" borderId="6" xfId="1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1" fillId="2" borderId="2" xfId="1" applyBorder="1" applyAlignment="1">
      <alignment vertical="center"/>
    </xf>
    <xf numFmtId="0" fontId="1" fillId="2" borderId="3" xfId="1" applyBorder="1" applyAlignment="1">
      <alignment vertical="center"/>
    </xf>
    <xf numFmtId="0" fontId="1" fillId="4" borderId="5" xfId="1" applyFill="1" applyBorder="1" applyAlignment="1">
      <alignment vertical="center"/>
    </xf>
    <xf numFmtId="0" fontId="1" fillId="4" borderId="7" xfId="1" applyFill="1" applyBorder="1" applyAlignment="1">
      <alignment vertical="center"/>
    </xf>
    <xf numFmtId="0" fontId="1" fillId="4" borderId="8" xfId="1" applyFill="1" applyBorder="1" applyAlignment="1">
      <alignment vertical="center"/>
    </xf>
    <xf numFmtId="0" fontId="1" fillId="5" borderId="1" xfId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1" fillId="5" borderId="4" xfId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5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1" fillId="2" borderId="9" xfId="1" applyBorder="1" applyAlignment="1">
      <alignment vertical="center"/>
    </xf>
    <xf numFmtId="0" fontId="1" fillId="2" borderId="10" xfId="1" applyBorder="1" applyAlignment="1">
      <alignment vertical="center"/>
    </xf>
    <xf numFmtId="0" fontId="1" fillId="2" borderId="11" xfId="1" applyBorder="1" applyAlignment="1">
      <alignment vertical="center"/>
    </xf>
    <xf numFmtId="11" fontId="0" fillId="6" borderId="4" xfId="0" quotePrefix="1" applyNumberFormat="1" applyFill="1" applyBorder="1" applyAlignment="1">
      <alignment vertical="center"/>
    </xf>
    <xf numFmtId="11" fontId="0" fillId="6" borderId="0" xfId="0" quotePrefix="1" applyNumberFormat="1" applyFill="1" applyAlignment="1">
      <alignment vertical="center"/>
    </xf>
    <xf numFmtId="11" fontId="0" fillId="6" borderId="5" xfId="0" quotePrefix="1" applyNumberFormat="1" applyFill="1" applyBorder="1" applyAlignment="1">
      <alignment vertical="center"/>
    </xf>
    <xf numFmtId="2" fontId="0" fillId="0" borderId="0" xfId="0" applyNumberFormat="1" applyAlignment="1">
      <alignment horizontal="center"/>
    </xf>
    <xf numFmtId="0" fontId="0" fillId="7" borderId="0" xfId="0" applyFill="1"/>
    <xf numFmtId="0" fontId="0" fillId="5" borderId="0" xfId="0" applyFill="1"/>
    <xf numFmtId="164" fontId="4" fillId="0" borderId="12" xfId="0" applyNumberFormat="1" applyFont="1" applyBorder="1" applyAlignment="1">
      <alignment horizontal="center" vertical="center"/>
    </xf>
    <xf numFmtId="2" fontId="0" fillId="7" borderId="0" xfId="0" applyNumberFormat="1" applyFill="1"/>
    <xf numFmtId="2" fontId="0" fillId="5" borderId="0" xfId="0" applyNumberFormat="1" applyFill="1"/>
    <xf numFmtId="164" fontId="4" fillId="0" borderId="0" xfId="0" applyNumberFormat="1" applyFont="1" applyAlignment="1">
      <alignment horizontal="center" vertical="center"/>
    </xf>
    <xf numFmtId="2" fontId="0" fillId="0" borderId="0" xfId="0" applyNumberFormat="1"/>
    <xf numFmtId="164" fontId="4" fillId="0" borderId="13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0" fillId="7" borderId="1" xfId="0" applyFill="1" applyBorder="1"/>
    <xf numFmtId="0" fontId="0" fillId="5" borderId="3" xfId="0" applyFill="1" applyBorder="1"/>
    <xf numFmtId="2" fontId="0" fillId="7" borderId="4" xfId="0" applyNumberFormat="1" applyFill="1" applyBorder="1"/>
    <xf numFmtId="2" fontId="0" fillId="5" borderId="5" xfId="0" applyNumberFormat="1" applyFill="1" applyBorder="1"/>
    <xf numFmtId="2" fontId="0" fillId="7" borderId="6" xfId="0" applyNumberFormat="1" applyFill="1" applyBorder="1"/>
    <xf numFmtId="2" fontId="0" fillId="5" borderId="8" xfId="0" applyNumberFormat="1" applyFill="1" applyBorder="1"/>
    <xf numFmtId="2" fontId="0" fillId="0" borderId="0" xfId="0" quotePrefix="1" applyNumberFormat="1"/>
    <xf numFmtId="0" fontId="0" fillId="8" borderId="0" xfId="0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5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20% - Accent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EB5-9BED-5243-8671-EC42D03EFFB2}">
  <sheetPr>
    <pageSetUpPr fitToPage="1"/>
  </sheetPr>
  <dimension ref="A1:N32"/>
  <sheetViews>
    <sheetView tabSelected="1" workbookViewId="0">
      <selection activeCell="P14" sqref="P14"/>
    </sheetView>
  </sheetViews>
  <sheetFormatPr baseColWidth="10" defaultRowHeight="16" x14ac:dyDescent="0.2"/>
  <sheetData>
    <row r="1" spans="1:14" ht="17" thickBot="1" x14ac:dyDescent="0.25">
      <c r="A1" s="1" t="s">
        <v>0</v>
      </c>
      <c r="B1" s="2"/>
      <c r="C1" s="1" t="s">
        <v>11</v>
      </c>
      <c r="D1" s="1"/>
      <c r="E1" s="1" t="s">
        <v>1</v>
      </c>
      <c r="F1" s="1"/>
      <c r="G1" s="1"/>
      <c r="H1" s="1" t="s">
        <v>2</v>
      </c>
      <c r="I1" s="1"/>
      <c r="J1" s="3">
        <v>100000</v>
      </c>
      <c r="K1" s="2"/>
      <c r="L1" s="2"/>
      <c r="M1" s="2"/>
      <c r="N1" s="2"/>
    </row>
    <row r="2" spans="1:14" x14ac:dyDescent="0.2">
      <c r="A2" s="2" t="s">
        <v>3</v>
      </c>
      <c r="B2" s="76" t="s">
        <v>12</v>
      </c>
      <c r="C2" s="77"/>
      <c r="D2" s="78"/>
      <c r="E2" s="76" t="s">
        <v>13</v>
      </c>
      <c r="F2" s="77"/>
      <c r="G2" s="78"/>
      <c r="H2" s="76" t="s">
        <v>12</v>
      </c>
      <c r="I2" s="77"/>
      <c r="J2" s="78"/>
      <c r="K2" s="76" t="s">
        <v>13</v>
      </c>
      <c r="L2" s="77"/>
      <c r="M2" s="78"/>
      <c r="N2" s="2" t="s">
        <v>5</v>
      </c>
    </row>
    <row r="3" spans="1:14" x14ac:dyDescent="0.2">
      <c r="A3" s="2"/>
      <c r="B3" s="4" t="s">
        <v>6</v>
      </c>
      <c r="C3" s="5" t="s">
        <v>7</v>
      </c>
      <c r="D3" s="6" t="s">
        <v>8</v>
      </c>
      <c r="E3" s="4" t="s">
        <v>6</v>
      </c>
      <c r="F3" s="5" t="s">
        <v>7</v>
      </c>
      <c r="G3" s="6" t="s">
        <v>8</v>
      </c>
      <c r="H3" s="4" t="s">
        <v>6</v>
      </c>
      <c r="I3" s="5" t="s">
        <v>7</v>
      </c>
      <c r="J3" s="6" t="s">
        <v>8</v>
      </c>
      <c r="K3" s="4" t="s">
        <v>6</v>
      </c>
      <c r="L3" s="5" t="s">
        <v>7</v>
      </c>
      <c r="M3" s="6" t="s">
        <v>8</v>
      </c>
      <c r="N3" s="2" t="s">
        <v>9</v>
      </c>
    </row>
    <row r="4" spans="1:14" x14ac:dyDescent="0.2">
      <c r="A4" s="7">
        <v>1.0000000000000001E-5</v>
      </c>
      <c r="B4" s="8"/>
      <c r="C4" s="9"/>
      <c r="D4" s="10"/>
      <c r="E4" s="11"/>
      <c r="F4" s="9"/>
      <c r="G4" s="10"/>
      <c r="H4" s="11"/>
      <c r="I4" s="9"/>
      <c r="J4" s="12"/>
      <c r="K4" s="8"/>
      <c r="L4" s="13"/>
      <c r="M4" s="12"/>
      <c r="N4" s="2"/>
    </row>
    <row r="5" spans="1:14" x14ac:dyDescent="0.2">
      <c r="A5" s="5">
        <f>A4/5</f>
        <v>2.0000000000000003E-6</v>
      </c>
      <c r="B5" s="8"/>
      <c r="C5" s="9"/>
      <c r="D5" s="10"/>
      <c r="E5" s="11"/>
      <c r="F5" s="9"/>
      <c r="G5" s="10"/>
      <c r="H5" s="11"/>
      <c r="I5" s="9"/>
      <c r="J5" s="12"/>
      <c r="K5" s="8"/>
      <c r="L5" s="13"/>
      <c r="M5" s="12"/>
      <c r="N5" s="2"/>
    </row>
    <row r="6" spans="1:14" x14ac:dyDescent="0.2">
      <c r="A6" s="5">
        <f t="shared" ref="A6:A11" si="0">A5/5</f>
        <v>4.0000000000000009E-7</v>
      </c>
      <c r="B6" s="8"/>
      <c r="C6" s="9"/>
      <c r="D6" s="10"/>
      <c r="E6" s="11"/>
      <c r="F6" s="9"/>
      <c r="G6" s="10"/>
      <c r="H6" s="11"/>
      <c r="I6" s="9"/>
      <c r="J6" s="12"/>
      <c r="K6" s="8"/>
      <c r="L6" s="13"/>
      <c r="M6" s="12"/>
      <c r="N6" s="2"/>
    </row>
    <row r="7" spans="1:14" x14ac:dyDescent="0.2">
      <c r="A7" s="5">
        <f t="shared" si="0"/>
        <v>8.0000000000000015E-8</v>
      </c>
      <c r="B7" s="8"/>
      <c r="C7" s="9"/>
      <c r="D7" s="10"/>
      <c r="E7" s="11"/>
      <c r="F7" s="9"/>
      <c r="G7" s="10"/>
      <c r="H7" s="11"/>
      <c r="I7" s="9"/>
      <c r="J7" s="12"/>
      <c r="K7" s="8"/>
      <c r="L7" s="13"/>
      <c r="M7" s="12"/>
      <c r="N7" s="2"/>
    </row>
    <row r="8" spans="1:14" x14ac:dyDescent="0.2">
      <c r="A8" s="5">
        <f t="shared" si="0"/>
        <v>1.6000000000000004E-8</v>
      </c>
      <c r="B8" s="8"/>
      <c r="C8" s="9"/>
      <c r="D8" s="10"/>
      <c r="E8" s="11"/>
      <c r="F8" s="9"/>
      <c r="G8" s="10"/>
      <c r="H8" s="11"/>
      <c r="I8" s="9"/>
      <c r="J8" s="12"/>
      <c r="K8" s="8"/>
      <c r="L8" s="13"/>
      <c r="M8" s="12"/>
      <c r="N8" s="2"/>
    </row>
    <row r="9" spans="1:14" x14ac:dyDescent="0.2">
      <c r="A9" s="5">
        <f t="shared" si="0"/>
        <v>3.2000000000000009E-9</v>
      </c>
      <c r="B9" s="8"/>
      <c r="C9" s="9"/>
      <c r="D9" s="10"/>
      <c r="E9" s="11"/>
      <c r="F9" s="9"/>
      <c r="G9" s="10"/>
      <c r="H9" s="11"/>
      <c r="I9" s="9"/>
      <c r="J9" s="12"/>
      <c r="K9" s="8"/>
      <c r="L9" s="13"/>
      <c r="M9" s="12"/>
      <c r="N9" s="2"/>
    </row>
    <row r="10" spans="1:14" x14ac:dyDescent="0.2">
      <c r="A10" s="5">
        <f t="shared" si="0"/>
        <v>6.4000000000000017E-10</v>
      </c>
      <c r="B10" s="8"/>
      <c r="C10" s="9"/>
      <c r="D10" s="10"/>
      <c r="E10" s="11"/>
      <c r="F10" s="9"/>
      <c r="G10" s="10"/>
      <c r="H10" s="11"/>
      <c r="I10" s="9"/>
      <c r="J10" s="12"/>
      <c r="K10" s="8"/>
      <c r="L10" s="13"/>
      <c r="M10" s="12"/>
      <c r="N10" s="2"/>
    </row>
    <row r="11" spans="1:14" ht="17" thickBot="1" x14ac:dyDescent="0.25">
      <c r="A11" s="5">
        <f t="shared" si="0"/>
        <v>1.2800000000000002E-10</v>
      </c>
      <c r="B11" s="14"/>
      <c r="C11" s="15"/>
      <c r="D11" s="16"/>
      <c r="E11" s="17"/>
      <c r="F11" s="15"/>
      <c r="G11" s="16"/>
      <c r="H11" s="17"/>
      <c r="I11" s="15"/>
      <c r="J11" s="18"/>
      <c r="K11" s="14"/>
      <c r="L11" s="19"/>
      <c r="M11" s="18"/>
      <c r="N11" s="2"/>
    </row>
    <row r="12" spans="1:14" x14ac:dyDescent="0.2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 s="2"/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  <c r="N13" s="2"/>
    </row>
    <row r="14" spans="1:14" ht="17" thickBot="1" x14ac:dyDescent="0.25">
      <c r="A14" s="1" t="s">
        <v>0</v>
      </c>
      <c r="B14" s="2"/>
      <c r="C14" s="1" t="s">
        <v>11</v>
      </c>
      <c r="D14" s="1"/>
      <c r="E14" s="1" t="s">
        <v>1</v>
      </c>
      <c r="F14" s="1"/>
      <c r="G14" s="1"/>
      <c r="H14" s="1" t="s">
        <v>2</v>
      </c>
      <c r="I14" s="1"/>
      <c r="J14" s="3">
        <v>100000</v>
      </c>
      <c r="K14" s="2"/>
      <c r="L14" s="2"/>
      <c r="M14" s="2"/>
      <c r="N14" s="2"/>
    </row>
    <row r="15" spans="1:14" x14ac:dyDescent="0.2">
      <c r="A15" s="2" t="s">
        <v>3</v>
      </c>
      <c r="B15" s="76" t="s">
        <v>19</v>
      </c>
      <c r="C15" s="77"/>
      <c r="D15" s="77"/>
      <c r="E15" s="78"/>
      <c r="F15" s="71" t="s">
        <v>20</v>
      </c>
      <c r="G15" s="72"/>
      <c r="H15" s="72"/>
      <c r="I15" s="73"/>
      <c r="J15" s="71" t="s">
        <v>20</v>
      </c>
      <c r="K15" s="72"/>
      <c r="L15" s="72"/>
      <c r="M15" s="73"/>
      <c r="N15" s="2" t="s">
        <v>5</v>
      </c>
    </row>
    <row r="16" spans="1:14" ht="17" thickBot="1" x14ac:dyDescent="0.25">
      <c r="A16" s="2"/>
      <c r="B16" s="50" t="s">
        <v>15</v>
      </c>
      <c r="C16" s="51" t="s">
        <v>16</v>
      </c>
      <c r="D16" s="51" t="s">
        <v>17</v>
      </c>
      <c r="E16" s="52" t="s">
        <v>18</v>
      </c>
      <c r="F16" s="4" t="s">
        <v>6</v>
      </c>
      <c r="G16" s="5" t="s">
        <v>7</v>
      </c>
      <c r="H16" s="5" t="s">
        <v>8</v>
      </c>
      <c r="I16" s="6" t="s">
        <v>14</v>
      </c>
      <c r="J16" s="50" t="s">
        <v>15</v>
      </c>
      <c r="K16" s="51" t="s">
        <v>16</v>
      </c>
      <c r="L16" s="51" t="s">
        <v>17</v>
      </c>
      <c r="M16" s="52" t="s">
        <v>18</v>
      </c>
      <c r="N16" s="2" t="s">
        <v>9</v>
      </c>
    </row>
    <row r="17" spans="1:14" x14ac:dyDescent="0.2">
      <c r="A17" s="74" t="s">
        <v>21</v>
      </c>
      <c r="B17" s="38"/>
      <c r="C17" s="39"/>
      <c r="D17" s="39"/>
      <c r="E17" s="40"/>
      <c r="F17" s="30"/>
      <c r="G17" s="23"/>
      <c r="H17" s="23"/>
      <c r="I17" s="24"/>
      <c r="J17" s="22"/>
      <c r="K17" s="33"/>
      <c r="L17" s="33"/>
      <c r="M17" s="34"/>
      <c r="N17" s="2"/>
    </row>
    <row r="18" spans="1:14" x14ac:dyDescent="0.2">
      <c r="A18" s="74"/>
      <c r="B18" s="41"/>
      <c r="C18" s="42"/>
      <c r="D18" s="42"/>
      <c r="E18" s="43"/>
      <c r="F18" s="44"/>
      <c r="G18" s="45"/>
      <c r="H18" s="45"/>
      <c r="I18" s="46"/>
      <c r="J18" s="47"/>
      <c r="K18" s="48"/>
      <c r="L18" s="48"/>
      <c r="M18" s="49"/>
      <c r="N18" s="2"/>
    </row>
    <row r="19" spans="1:14" x14ac:dyDescent="0.2">
      <c r="A19" s="75" t="s">
        <v>22</v>
      </c>
      <c r="B19" s="41"/>
      <c r="C19" s="42"/>
      <c r="D19" s="42"/>
      <c r="E19" s="43"/>
      <c r="F19" s="11"/>
      <c r="G19" s="9"/>
      <c r="H19" s="9"/>
      <c r="I19" s="10"/>
      <c r="J19" s="8"/>
      <c r="K19" s="13"/>
      <c r="L19" s="13"/>
      <c r="M19" s="12"/>
      <c r="N19" s="2"/>
    </row>
    <row r="20" spans="1:14" x14ac:dyDescent="0.2">
      <c r="A20" s="75"/>
      <c r="B20" s="41"/>
      <c r="C20" s="42"/>
      <c r="D20" s="42"/>
      <c r="E20" s="43"/>
      <c r="F20" s="11"/>
      <c r="G20" s="9"/>
      <c r="H20" s="9"/>
      <c r="I20" s="10"/>
      <c r="J20" s="11"/>
      <c r="K20" s="9"/>
      <c r="L20" s="9"/>
      <c r="M20" s="10"/>
      <c r="N20" s="2"/>
    </row>
    <row r="21" spans="1:14" x14ac:dyDescent="0.2">
      <c r="A21" s="5"/>
      <c r="B21" s="25"/>
      <c r="C21" s="21"/>
      <c r="D21" s="21"/>
      <c r="E21" s="26"/>
      <c r="F21" s="31"/>
      <c r="G21" s="21"/>
      <c r="H21" s="21"/>
      <c r="I21" s="26"/>
      <c r="J21" s="25"/>
      <c r="K21" s="20"/>
      <c r="L21" s="20"/>
      <c r="M21" s="35"/>
      <c r="N21" s="2"/>
    </row>
    <row r="22" spans="1:14" x14ac:dyDescent="0.2">
      <c r="A22" s="5"/>
      <c r="B22" s="25"/>
      <c r="C22" s="21"/>
      <c r="D22" s="21"/>
      <c r="E22" s="26"/>
      <c r="F22" s="31"/>
      <c r="G22" s="21"/>
      <c r="H22" s="21"/>
      <c r="I22" s="26"/>
      <c r="J22" s="25"/>
      <c r="K22" s="20"/>
      <c r="L22" s="20"/>
      <c r="M22" s="35"/>
      <c r="N22" s="2"/>
    </row>
    <row r="23" spans="1:14" x14ac:dyDescent="0.2">
      <c r="A23" s="5"/>
      <c r="B23" s="25"/>
      <c r="C23" s="21"/>
      <c r="D23" s="21"/>
      <c r="E23" s="26"/>
      <c r="F23" s="31"/>
      <c r="G23" s="21"/>
      <c r="H23" s="21"/>
      <c r="I23" s="26"/>
      <c r="J23" s="25"/>
      <c r="K23" s="20"/>
      <c r="L23" s="20"/>
      <c r="M23" s="35"/>
      <c r="N23" s="2"/>
    </row>
    <row r="24" spans="1:14" ht="17" thickBot="1" x14ac:dyDescent="0.25">
      <c r="A24" s="5"/>
      <c r="B24" s="27"/>
      <c r="C24" s="28"/>
      <c r="D24" s="28"/>
      <c r="E24" s="29"/>
      <c r="F24" s="32"/>
      <c r="G24" s="28"/>
      <c r="H24" s="28"/>
      <c r="I24" s="29"/>
      <c r="J24" s="27"/>
      <c r="K24" s="36"/>
      <c r="L24" s="36"/>
      <c r="M24" s="37"/>
      <c r="N24" s="2"/>
    </row>
    <row r="25" spans="1:14" x14ac:dyDescent="0.2">
      <c r="A25" s="2" t="s">
        <v>10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7" spans="1:14" ht="17" thickBot="1" x14ac:dyDescent="0.25">
      <c r="A27" t="s">
        <v>23</v>
      </c>
      <c r="C27" t="s">
        <v>24</v>
      </c>
      <c r="D27" t="s">
        <v>25</v>
      </c>
      <c r="G27" t="s">
        <v>33</v>
      </c>
      <c r="I27" t="s">
        <v>35</v>
      </c>
    </row>
    <row r="28" spans="1:14" x14ac:dyDescent="0.2">
      <c r="A28" t="s">
        <v>27</v>
      </c>
      <c r="B28" s="53" t="s">
        <v>28</v>
      </c>
      <c r="C28" s="54" t="s">
        <v>34</v>
      </c>
      <c r="D28" s="55" t="s">
        <v>30</v>
      </c>
      <c r="G28" t="s">
        <v>27</v>
      </c>
      <c r="H28" s="53" t="s">
        <v>32</v>
      </c>
      <c r="I28" s="63" t="s">
        <v>29</v>
      </c>
      <c r="J28" s="64" t="s">
        <v>36</v>
      </c>
    </row>
    <row r="29" spans="1:14" x14ac:dyDescent="0.2">
      <c r="A29" t="s">
        <v>12</v>
      </c>
      <c r="B29" s="56">
        <v>14.08</v>
      </c>
      <c r="C29" s="57">
        <f>500*10/B29</f>
        <v>355.11363636363637</v>
      </c>
      <c r="D29" s="58">
        <f>500-C29</f>
        <v>144.88636363636363</v>
      </c>
      <c r="G29" t="s">
        <v>4</v>
      </c>
      <c r="H29" s="61">
        <v>59.31</v>
      </c>
      <c r="I29" s="65">
        <f>1000*1/H29</f>
        <v>16.860563142808971</v>
      </c>
      <c r="J29" s="66">
        <f>1000-I29</f>
        <v>983.13943685719107</v>
      </c>
    </row>
    <row r="30" spans="1:14" ht="17" thickBot="1" x14ac:dyDescent="0.25">
      <c r="A30" t="s">
        <v>13</v>
      </c>
      <c r="B30" s="56">
        <v>13.98</v>
      </c>
      <c r="C30" s="57">
        <f t="shared" ref="C30" si="1">500*10/B30</f>
        <v>357.65379113018599</v>
      </c>
      <c r="D30" s="58">
        <f t="shared" ref="D30" si="2">500-C30</f>
        <v>142.34620886981401</v>
      </c>
      <c r="G30" t="s">
        <v>31</v>
      </c>
      <c r="H30" s="62">
        <v>25.75</v>
      </c>
      <c r="I30" s="67">
        <f>1000*1/H30</f>
        <v>38.834951456310677</v>
      </c>
      <c r="J30" s="68">
        <f>1000-I30</f>
        <v>961.1650485436893</v>
      </c>
    </row>
    <row r="31" spans="1:14" x14ac:dyDescent="0.2">
      <c r="A31" t="s">
        <v>26</v>
      </c>
      <c r="B31" s="59"/>
      <c r="C31" s="60"/>
      <c r="D31" s="60"/>
      <c r="H31" s="59"/>
      <c r="I31" s="60"/>
      <c r="J31" s="69" t="s">
        <v>37</v>
      </c>
    </row>
    <row r="32" spans="1:14" x14ac:dyDescent="0.2">
      <c r="B32" s="59"/>
      <c r="C32" s="60"/>
      <c r="D32" s="60"/>
      <c r="G32" t="s">
        <v>39</v>
      </c>
      <c r="I32" s="70" t="s">
        <v>38</v>
      </c>
    </row>
  </sheetData>
  <mergeCells count="9">
    <mergeCell ref="J15:M15"/>
    <mergeCell ref="A17:A18"/>
    <mergeCell ref="A19:A20"/>
    <mergeCell ref="B2:D2"/>
    <mergeCell ref="E2:G2"/>
    <mergeCell ref="H2:J2"/>
    <mergeCell ref="K2:M2"/>
    <mergeCell ref="B15:E15"/>
    <mergeCell ref="F15:I15"/>
  </mergeCells>
  <pageMargins left="0.7" right="0.7" top="0.75" bottom="0.75" header="0.3" footer="0.3"/>
  <pageSetup paperSize="9" scale="8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吴笑渔</dc:creator>
  <cp:lastModifiedBy>吴笑渔</cp:lastModifiedBy>
  <cp:lastPrinted>2024-04-21T02:18:06Z</cp:lastPrinted>
  <dcterms:created xsi:type="dcterms:W3CDTF">2024-04-21T01:09:24Z</dcterms:created>
  <dcterms:modified xsi:type="dcterms:W3CDTF">2024-04-25T07:42:54Z</dcterms:modified>
</cp:coreProperties>
</file>